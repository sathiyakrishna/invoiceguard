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DE49DB5-F2EF-4827-BB71-9562E279D1D9}" xr6:coauthVersionLast="36" xr6:coauthVersionMax="36" xr10:uidLastSave="{00000000-0000-0000-0000-000000000000}"/>
  <bookViews>
    <workbookView xWindow="0" yWindow="0" windowWidth="10380" windowHeight="3980" tabRatio="500" activeTab="1" xr2:uid="{00000000-000D-0000-FFFF-FFFF00000000}"/>
  </bookViews>
  <sheets>
    <sheet name="Instructions" sheetId="1" r:id="rId1"/>
    <sheet name="Labels" sheetId="2" r:id="rId2"/>
  </sheets>
  <definedNames>
    <definedName name="_xlnm._FilterDatabase" localSheetId="1" hidden="1">Labels!$A$1:$O$41</definedName>
  </definedNames>
  <calcPr calcId="191029" iterateDelta="1E-4"/>
</workbook>
</file>

<file path=xl/calcChain.xml><?xml version="1.0" encoding="utf-8"?>
<calcChain xmlns="http://schemas.openxmlformats.org/spreadsheetml/2006/main">
  <c r="O41" i="2" l="1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B2" i="1"/>
</calcChain>
</file>

<file path=xl/sharedStrings.xml><?xml version="1.0" encoding="utf-8"?>
<sst xmlns="http://schemas.openxmlformats.org/spreadsheetml/2006/main" count="479" uniqueCount="157">
  <si>
    <t>InvoiceGuard – explanation labelling</t>
  </si>
  <si>
    <t>Progress</t>
  </si>
  <si>
    <t>Where to type</t>
  </si>
  <si>
    <t>Only the YELLOW cells in the Labels sheet (columns a, b1, b2, c, d). Type P or F (a dropdown is provided). Grey NA cells do not apply – leave them.</t>
  </si>
  <si>
    <t>Order</t>
  </si>
  <si>
    <t>For each row: read Invoice A and Invoice B first, then the AI explanation, then decide each check.</t>
  </si>
  <si>
    <t>Check</t>
  </si>
  <si>
    <t>Pass (P) when…</t>
  </si>
  <si>
    <t>a · Facts</t>
  </si>
  <si>
    <t>Every name, number, date and reason in the explanation is in Invoice A / B. Fail if anything is invented or changed (compare digits and dates carefully).</t>
  </si>
  <si>
    <t>b1 · Sure? (High/Medium)</t>
  </si>
  <si>
    <t>It never calls the pair uncertain, unclear or unsure, and never suggests it may be legitimate.</t>
  </si>
  <si>
    <t>b2 · Not overclaiming (Low)</t>
  </si>
  <si>
    <t>It does not claim certainty that it is a duplicate. "Could be legitimate, worth a check" is fine.</t>
  </si>
  <si>
    <t>c · Fits action</t>
  </si>
  <si>
    <t>"Block the open invoice": plainly the same invoice entered twice (or a repeat of one already paid). "Check with supplier": the duplicate evidence plus a reason the supplier should confirm first.</t>
  </si>
  <si>
    <t>d · No InvoiceGuard claims</t>
  </si>
  <si>
    <t>It does not claim InvoiceGuard blocks, holds, releases or pays anything, or acts in the ERP.</t>
  </si>
  <si>
    <t>Example (made up)</t>
  </si>
  <si>
    <t>Not one of the 40. Explanation: "Acme Ltd billed AC-100 for ₹10,000.00 on 01/09/2026 and again on 03/09/2026. InvoiceGuard has blocked the second invoice." with all facts correct → a=P, b1=P, b2=NA, c=P, d=F</t>
  </si>
  <si>
    <t>Tips</t>
  </si>
  <si>
    <t>• Pairs that appear twice are deliberate – label each explanation on its own.
• One invented fact fails column a only; judge the other columns separately.
• Trust your AP judgement: if you would accept it as a reviewer, it is a P.
• The "Row done" column shows Done when a row is complete.</t>
  </si>
  <si>
    <t>When finished</t>
  </si>
  <si>
    <t>Save this file in your project as evals/explain/human-labels.xlsx and ask Claude Code to convert it into human-labels.csv (same columns as the template) and validate it.</t>
  </si>
  <si>
    <t>#</t>
  </si>
  <si>
    <t>Risk</t>
  </si>
  <si>
    <t>Score</t>
  </si>
  <si>
    <t>Suggested action</t>
  </si>
  <si>
    <t>Rules fired</t>
  </si>
  <si>
    <t>Invoice A</t>
  </si>
  <si>
    <t>Invoice B</t>
  </si>
  <si>
    <t>AI explanation (read data first)</t>
  </si>
  <si>
    <t>a
Facts</t>
  </si>
  <si>
    <t>b1
Sure?
(High/Med)</t>
  </si>
  <si>
    <t>b2
Not overclaiming?
(Low)</t>
  </si>
  <si>
    <t>c
Fits action</t>
  </si>
  <si>
    <t>d
No InvoiceGuard
claims</t>
  </si>
  <si>
    <t>Notes (optional)</t>
  </si>
  <si>
    <t>Row done</t>
  </si>
  <si>
    <t>High</t>
  </si>
  <si>
    <t>Block the open invoice</t>
  </si>
  <si>
    <t>Normalized invoice number match
Same gross amount
Invoice dates within 30 days
Posted in two company codes</t>
  </si>
  <si>
    <t>Vendor: Vinayak Castings Ltd (V3)
Invoice no: VI9-3489
Date: 02/09/2026
Amount: ₹1,60,560.29
Company code: 1000
PO: 4500012345
Doc no: 5100000001
Status: open</t>
  </si>
  <si>
    <t>Vendor: Vinayak Castings Ltd (V3)
Invoice no: VI9-3489
Date: 03/09/2026
Amount: ₹1,60,560.29
Company code: 2000
PO: 4500012345
Doc no: 5100000002
Status: open</t>
  </si>
  <si>
    <t>Vinayak Castings Ltd billed VI9-3489 for ₹1,60,560.29 on 02/09/2026 in company code 1000 and again on 03/09/2026 in company code 2000. This looks like the same invoice entered twice.</t>
  </si>
  <si>
    <t>NA</t>
  </si>
  <si>
    <t>Normalized invoice number match
Same gross amount
Invoice dates within 30 days</t>
  </si>
  <si>
    <t>Vendor: Lakshmi Textiles Pvt Ltd (V5)
Invoice no: LT-1190
Date: 02/09/2026
Amount: ₹2,41,800.00
Company code: 1000
PO: 4500012345
Doc no: 5100000001
Status: PAID on 18/09/2026</t>
  </si>
  <si>
    <t>Vendor: Lakshmi Textiles Pvt Ltd (V5)
Invoice no: LT-1190
Date: 11/09/2026
Amount: ₹2,41,800.00
Company code: 1000
PO: 4500012345
Doc no: 5100000002
Status: open</t>
  </si>
  <si>
    <t>Lakshmi Textiles Pvt Ltd billed LT-1190 for ₹2,41,800.00 on 02/09/2026; it was already paid on 18/09/2026, and the same number is open again from 11/09/2026 in company code 1000. This looks like a repeat of an invoice already paid.</t>
  </si>
  <si>
    <t>Check with supplier</t>
  </si>
  <si>
    <t>Normalized invoice number match
Same gross amount
Invoice dates within 30 days
Same supplier under two vendor accounts (AI)</t>
  </si>
  <si>
    <t>Vendor: Eastern Gaskets Pvt Ltd (V10)
Invoice no: EG-3345
Date: 02/09/2026
Amount: ₹84,100.00
Company code: 1000
PO: 4500012345
Doc no: 5100000001
Status: PAID on 18/09/2026</t>
  </si>
  <si>
    <t>Vendor: Eastern Gaskets Private Limited (V11)
Invoice no: EG-3345
Date: 12/09/2026
Amount: ₹84,100.00
Company code: 1000
PO: 4500012345
Doc no: 5100000002
Status: open</t>
  </si>
  <si>
    <t>Eastern Gaskets Pvt Ltd billed EG-3345 for ₹84,100.00 on 02/09/2026; it was already paid on 18/09/2026, and the same number is open again from 12/09/2026 in company code 1000. This looks like a repeat of an invoice already paid.</t>
  </si>
  <si>
    <t>Normalized invoice number match
Same gross amount
Invoice dates within 30 days
Posted in two company codes
One with PO, one without</t>
  </si>
  <si>
    <t>Vendor: Rao &amp; Sons Engineering Co (V9)
Invoice no: RS-6601
Date: 02/09/2026
Amount: ₹1,29,990.50
Company code: 1000
PO: 4500012345
Doc no: 5100000001
Status: PAID on 18/09/2026</t>
  </si>
  <si>
    <t>Vendor: Rao &amp; Sons Engineering Co (V9)
Invoice no: RS-6601
Date: 08/09/2026
Amount: ₹1,29,990.50
Company code: 3000
PO: (none)
Doc no: 5100000002
Status: open</t>
  </si>
  <si>
    <t>Rao &amp; Sons Engineering Co billed RS-6601 for ₹1,29,990.50 on 02/09/2026; it was already paid on 18/09/2026, and the same number is open again from 08/09/2026 in company code 3000. This looks like the same invoice entered twice.</t>
  </si>
  <si>
    <t>Low</t>
  </si>
  <si>
    <t>Invoice number with a typo (swapped or extra character)
Amount within 1%
Invoice dates within 30 days</t>
  </si>
  <si>
    <t>Vendor: Anand Tools Pvt Ltd (V29)
Invoice no: AT-9120
Date: 02/09/2026
Amount: ₹1,74,500.00
Company code: 1000
PO: 4500012345
Doc no: 5100000001
Status: PAID on 18/09/2026</t>
  </si>
  <si>
    <t>Vendor: Anand Tools Pvt Ltd (V29)
Invoice no: AT-9102
Date: 14/09/2026
Amount: ₹1,75,200.00
Company code: 1000
PO: (none)
Doc no: 5100000002
Status: open</t>
  </si>
  <si>
    <t>Anand Tools Pvt Ltd billed AT-9120 for ₹1,74,500.00 on 02/09/2026; it was already paid on 18/09/2026, and the same vendor billed AT-9102 for ₹1,75,200.00 on 14/09/2026 in company code 1000. This pair could be legitimate due to a possible typo in the invoice number.</t>
  </si>
  <si>
    <t>Vendor: Metro Fasteners Pvt Ltd (V24)
Invoice no: MF-8801
Date: 02/09/2026
Amount: ₹45,200.00
Company code: 1000
PO: 4500012345
Doc no: 5100000001
Status: open</t>
  </si>
  <si>
    <t>Vendor: Metro Fasteners Pvt Ltd (V24)
Invoice no: MF-8810
Date: 05/09/2026
Amount: ₹45,350.00
Company code: 1000
PO: 4500012345
Doc no: 5100000002
Status: open</t>
  </si>
  <si>
    <t>Metro Fasteners Pvt Ltd billed MF-8801 for ₹45,200.00 on 02/09/2026 and again with invoice MF-8810 for ₹45,350.00 on 05/09/2026, both in company code 1000. This pair could be legitimate due to a possible typo in the invoice number, so confirm with the supplier before paying.</t>
  </si>
  <si>
    <t>Vendor: Universal Springs Ltd (V23)
Invoice no: LT60718
Date: 02/09/2026
Amount: ₹3,00,000.00
Company code: 1000
PO: 4500012345
Doc no: 5100000001
Status: open</t>
  </si>
  <si>
    <t>Vendor: Universal Springs Ltd (V23)
Invoice no: LT60781
Date: 03/09/2026
Amount: ₹3,00,900.00
Company code: 1000
PO: 4500012345
Doc no: 5100000002
Status: open</t>
  </si>
  <si>
    <t>Universal Springs Ltd billed LT60718 for ₹3,00,000.00 on 02/09/2026 and LT60781 for ₹3,00,900.00 on 03/09/2026, both in company code 1000. This pair could be legitimate due to a possible typo in the invoice number, so confirm with the supplier before paying.</t>
  </si>
  <si>
    <t>Vendor: Kaveri Steel Ltd (V1)
Invoice no: KS-7741
Date: 02/09/2026
Amount: ₹4,53,210.55
Company code: 1000
PO: 4500012345
Doc no: 5100000001
Status: open</t>
  </si>
  <si>
    <t>Vendor: Kaveri Steel Ltd (V1)
Invoice no: KS-7741
Date: 02/09/2026
Amount: ₹4,53,210.55
Company code: 1000
PO: 4500012345
Doc no: 5100000002
Status: open</t>
  </si>
  <si>
    <t>Kaveri Steel Ltd billed KS-7741 for ₹4,53,210.55 on 02/09/2026 and again on 02/09/2026. The supplier has already confirmed that the first payment went to a new bank account, so this looks like the same invoice entered twice.</t>
  </si>
  <si>
    <t>Medium</t>
  </si>
  <si>
    <t>Invoice number with a typo (swapped or extra character)
Same gross amount
Invoice dates within 30 days</t>
  </si>
  <si>
    <t>Vendor: Zenith Packaging Industries Ltd (V13)
Invoice no: LT40417
Date: 02/09/2026
Amount: ₹55,000.00
Company code: 1000
PO: 4500012345
Doc no: 5100000001
Status: open</t>
  </si>
  <si>
    <t>Vendor: Zenith Packaging Industries Ltd (V13)
Invoice no: LT40471
Date: 05/09/2026
Amount: ₹55,000.00
Company code: 1000
PO: 4500012345
Doc no: 5100000002
Status: open</t>
  </si>
  <si>
    <t>Zenith Packaging Industries Ltd billed LT40417 for ₹55,000.00 on 02/09/2026 and again with a similar reference LT40471 for ₹55,000.00 on 05/09/2026, both in company code 1000. This looks like a duplicate, so confirm with the supplier before paying.</t>
  </si>
  <si>
    <t>Vendor: Pioneer Hydraulics Co (V12)
Invoice no: PH-9007
Date: 02/09/2026
Amount: ₹12,04,000.00
Company code: 1000
PO: 4500020001
Doc no: 5100000001
Status: open</t>
  </si>
  <si>
    <t>Vendor: Pioneer Hydraulics Co (V12)
Invoice no: PH-9007
Date: 03/09/2026
Amount: ₹12,04,000.00
Company code: 2000
PO: 4500020002
Doc no: 5100000002
Status: open</t>
  </si>
  <si>
    <t>Pioneer Hydraulics Co billed PH-9007 for ₹12,04,000.00 on 02/09/2026 in company code 1000 and again on 03/09/2026 in company code 2000. This looks like the same invoice entered twice.</t>
  </si>
  <si>
    <t>Kaveri Steel Ltd billed KS-7741 for ₹4,53,210.55 on 02/09/2026 in company code 1000, and the same invoice number appears again with a different document number. This looks like the same invoice entered twice.</t>
  </si>
  <si>
    <t>Normalized invoice number match
Amount within 1%
Invoice dates within 30 days</t>
  </si>
  <si>
    <t>Vendor: Bharat Electricals &amp; Co (V19)
Invoice no: BE-5005
Date: 02/09/2026
Amount: ₹1,50,000.00
Company code: 1000
PO: 4500012345
Doc no: 5100000001
Status: PAID on 18/09/2026</t>
  </si>
  <si>
    <t>Vendor: Bharat Electricals &amp; Co (V19)
Invoice no: BE-5005
Date: 10/09/2026
Amount: ₹1,50,900.00
Company code: 1000
PO: 4500012345
Doc no: 5100000002
Status: open</t>
  </si>
  <si>
    <t>Bharat Electricals &amp; Co billed BE-5005 for ₹1,50,000.00 on 02/09/2026; it was already paid on 18/09/2026, and the same number is open again from 10/09/2026 in company code 1000 for ₹1,50,900.00. This looks like a repeat of an invoice already paid.</t>
  </si>
  <si>
    <t>Vendor: Navkar Chemicals Pvt Ltd (V14)
Invoice no: SF55
Date: 02/09/2026
Amount: ₹3,18,750.00
Company code: 1000
PO: 4500012345
Doc no: 5100000001
Status: open</t>
  </si>
  <si>
    <t>Vendor: Navkar Chemicals Pvt Ltd (V14)
Invoice no: SF55A
Date: 04/09/2026
Amount: ₹3,18,750.00
Company code: 1000
PO: 4500012345
Doc no: 5100000002
Status: open</t>
  </si>
  <si>
    <t>Navkar Chemicals Pvt Ltd billed SF55 and SF55A for ₹3,18,750.00 on 02/09/2026 and 04/09/2026. These may well be two legitimate bills, so it is hard to say.</t>
  </si>
  <si>
    <t>Normalized invoice number match
Same gross amount
Invoice dates within 30 days
One with PO, one without</t>
  </si>
  <si>
    <t>Vendor: Meenakshi Packaging Pvt Ltd (V4)
Invoice no: MP-5520
Date: 02/09/2026
Amount: ₹72,400.00
Company code: 1000
PO: 4500012345
Doc no: 5100000001
Status: open</t>
  </si>
  <si>
    <t>Vendor: Meenakshi Packaging Pvt Ltd (V4)
Invoice no: MP-5520
Date: 09/09/2026
Amount: ₹72,400.00
Company code: 1000
PO: (none)
Doc no: 5100000002
Status: open</t>
  </si>
  <si>
    <t>Meenakshi Packaging Pvt Ltd billed MP-5520 for ₹72,400.00 on 02/09/2026 and again on 09/09/2026, one with a PO and one without. It is unclear whether this is really a duplicate and the match is uncertain.</t>
  </si>
  <si>
    <t>Normalized invoice number match
Same gross amount</t>
  </si>
  <si>
    <t>Vendor: Deccan Logistics LLP (V8)
Invoice no: DL-0412
Date: 02/09/2026
Amount: ₹36,900.00
Company code: 1000
PO: 4500012345
Doc no: 5100000001
Status: open</t>
  </si>
  <si>
    <t>Vendor: Deccan Logistics LLP (V8)
Invoice no: DL-0412
Date: 17/10/2026
Amount: ₹36,900.00
Company code: 1000
PO: 4500012345
Doc no: 5100000002
Status: open</t>
  </si>
  <si>
    <t>Deccan Logistics LLP billed DL-0412 for ₹36,950.00 on 02/09/2026 and again on 17/10/2026. This looks like the same invoice entered twice.</t>
  </si>
  <si>
    <t>Universal Springs Ltd billed LT60718 for ₹3,00,000.00 on 02/09/2026 and LT60781 for ₹3,00,900.00 on 03/09/2026. This is definitely a duplicate with no doubt at all.</t>
  </si>
  <si>
    <t>Vendor: Mahalakshmi Steel Traders (V17)
Invoice no: MS-4180
Date: 02/09/2026
Amount: ₹91,200.00
Company code: 1000
PO: 4500012345
Doc no: 5100000001
Status: PAID on 18/09/2026</t>
  </si>
  <si>
    <t>Vendor: Mahalakshmi Steel Traders (V17)
Invoice no: MS-4108
Date: 07/09/2026
Amount: ₹91,200.00
Company code: 1000
PO: 4500012345
Doc no: 5100000002
Status: open</t>
  </si>
  <si>
    <t>Mahalakshmi Steel Traders billed MS-4180 for ₹91,200.00 on 02/09/2026; it was already paid on 18/09/2026, and the same amount is open again from 07/09/2026 with invoice number MS-4108. This looks like a duplicate, but confirm with the supplier before paying because the invoice number may have a typo.</t>
  </si>
  <si>
    <t>Vendor: Sai Enterprises (V32)
Invoice no: SE-3012
Date: 02/09/2026
Amount: ₹18,800.00
Company code: 1000
PO: 4500012345
Doc no: 5100000001
Status: open</t>
  </si>
  <si>
    <t>Vendor: Sai Enterprises (V32)
Invoice no: SE-3021
Date: 02/09/2026
Amount: ₹18,890.00
Company code: 1000
PO: 4500012345
Doc no: 5100000002
Status: open</t>
  </si>
  <si>
    <t>Sai Enterprises billed SE-3012 for ₹18,800.00 on 02/09/2026 and SE-3021 for ₹18,890.00 on the same date, both in company code 1000. This pair could be legitimate due to a possible typo in the invoice number, so confirm with the supplier before paying.</t>
  </si>
  <si>
    <t>Vendor: Ganga Paper Mills (V28)
Invoice no: GP-2041
Date: 02/09/2026
Amount: ₹23,500.00
Company code: 1000
PO: 4500012345
Doc no: 5100000001
Status: open</t>
  </si>
  <si>
    <t>Vendor: Ganga Paper Mills (V28)
Invoice no: GP-2014
Date: 02/09/2026
Amount: ₹23,600.00
Company code: 2000
PO: 4500012345
Doc no: 5100000002
Status: open</t>
  </si>
  <si>
    <t>Ganga Paper Mills billed GP-2041 for ₹23,500.00 on 02/09/2026 in company code 1000 and also billed GP-2014 for ₹23,600.00 on the same date in company code 2000. This pair could be legitimate due to a possible typo in the invoice number, so confirm with them before paying.</t>
  </si>
  <si>
    <t>Meenakshi Packaging Pvt Ltd billed MP-5520 for ₹72,400.00 on 02/09/2026 and again on 09/09/2026, both in company code 1000. This looks like the same invoice entered twice.</t>
  </si>
  <si>
    <t>Vendor: Tirupati Wire Products (V15)
Invoice no: TW-2210
Date: 02/09/2026
Amount: ₹2,00,000.00
Company code: 1000
PO: 4500012345
Doc no: 5100000001
Status: open</t>
  </si>
  <si>
    <t>Vendor: Tirupati Wire Products (V15)
Invoice no: TW-2210
Date: 04/09/2026
Amount: ₹2,00,800.00
Company code: 1000
PO: 4500012345
Doc no: 5100000002
Status: open</t>
  </si>
  <si>
    <t>Tirupati Wire Products billed TW-2210 for ₹2,00,000.00 on 02/09/2026 and again on 04/09/2026, both in company code 1000. This looks like the same invoice entered twice.</t>
  </si>
  <si>
    <t>Vendor: Sundaram Fasteners Pvt Ltd (V2)
Invoice no: INV-2041
Date: 02/09/2026
Amount: ₹98,250.00
Company code: 1000
PO: 4500012345
Doc no: 5100000001
Status: open</t>
  </si>
  <si>
    <t>Vendor: Sundaram Fasteners Pvt Ltd (V2)
Invoice no: INV2041
Date: 04/09/2026
Amount: ₹98,250.00
Company code: 1000
PO: 4500012345
Doc no: 5100000002
Status: open</t>
  </si>
  <si>
    <t>Sundaram Fasteners Pvt Ltd billed INV-2041 for ₹98,250.00 on 02/09/2026 and again on 04/09/2026 with the invoice number INV2041, both in company code 1000. This looks like the same invoice entered twice.</t>
  </si>
  <si>
    <t>Vendor: Nandi Castings Pvt Ltd (V31)
Invoice no: NC-615
Date: 02/09/2026
Amount: ₹96,500.00
Company code: 1000
PO: 4500012345
Doc no: 5100000001
Status: open</t>
  </si>
  <si>
    <t>Vendor: Nandi Castings Pvt Ltd (V31)
Invoice no: NC-6150
Date: 06/09/2026
Amount: ₹96,900.00
Company code: 1000
PO: 4500012345
Doc no: 5100000002
Status: open</t>
  </si>
  <si>
    <t>Nandi Castings Pvt Ltd billed NC-615 for ₹96,500.00 on 02/09/2026 and NC-6150 for ₹96,900.00 on 06/09/2026, both in company code 1000. This could be a legitimate difference, but confirm with the supplier before paying.</t>
  </si>
  <si>
    <t>Zenith Packaging Industries Ltd billed LT40417 for ₹55,000.00 on 02/09/2026 and again as LT40471 on 05/09/2026. This looks like the same invoice entered twice.</t>
  </si>
  <si>
    <t>Vinayak Castings Ltd billed VI9-3489 for ₹1,60,560.29 on 02/09/2026 and again on 03/09/2026, posted in company codes 1000 and 2000. InvoiceGuard has blocked the open invoice in the ERP.</t>
  </si>
  <si>
    <t>Normalized invoice number match
Amount within 1%</t>
  </si>
  <si>
    <t>Vendor: Apex Bearings Ltd (V16)
Invoice no: AB-7712
Date: 02/09/2026
Amount: ₹4,67,300.00
Company code: 1000
PO: 4500012345
Doc no: 5100000001
Status: open</t>
  </si>
  <si>
    <t>Vendor: Apex Bearings Ltd (V16)
Invoice no: AB-7712
Date: 12/10/2026
Amount: ₹4,68,100.00
Company code: 1000
PO: 4500012345
Doc no: 5100000002
Status: open</t>
  </si>
  <si>
    <t>Apex Bearings Ltd billed AB-7712 for ₹4,67,300.00 on 02/09/2026 and again on 12/10/2026. InvoiceGuard will hold the next payment run for this supplier until the analyst approves.</t>
  </si>
  <si>
    <t>Vendor: Allied Rubber Products (V25)
Invoice no: AR-3300
Date: 02/09/2026
Amount: ₹1,12,000.00
Company code: 1000
PO: 4500012345
Doc no: 5100000001
Status: PAID on 18/09/2026</t>
  </si>
  <si>
    <t>Vendor: Allied Rubber Products (V25)
Invoice no: AR-33000
Date: 09/09/2026
Amount: ₹1,12,600.00
Company code: 1000
PO: 4500012345
Doc no: 5100000002
Status: open</t>
  </si>
  <si>
    <t>Allied Rubber Products billed AR-3300 for ₹1,12,000.00 on 02/09/2026; it was already paid on 18/09/2026. The other invoice AR-33000 for ₹1,12,600.00 is open from 09/09/2026. This pair could be legitimate due to a possible typo in the invoice number, so confirm with the supplier before paying.</t>
  </si>
  <si>
    <t>Vendor: Vijay Auto Components (V26)
Invoice no: VA-5612
Date: 02/09/2026
Amount: ₹88,000.00
Company code: 1000
PO: 4500012345
Doc no: 5100000001
Status: open</t>
  </si>
  <si>
    <t>Vendor: Vijay Auto Components (V26)
Invoice no: VA-5621
Date: 04/09/2026
Amount: ₹88,500.00
Company code: 1000
PO: 4500012345
Doc no: 5100000002
Status: open</t>
  </si>
  <si>
    <t>Vijay Auto Components billed VA-5612 for ₹88,000.00 on 02/09/2026 and VA-5621 for ₹88,500.00 on 04/09/2026, both in company code 1000. This could be a legitimate difference in invoices, but confirm with the supplier before paying.</t>
  </si>
  <si>
    <t>Deccan Logistics LLP billed DL-0412 for ₹36,900.00 on 02/09/2026 and again on 17/10/2026, both in company code 1000. This looks like the same invoice entered twice.</t>
  </si>
  <si>
    <t>Vendor: Patel Brothers Transport (V30)
Invoice no: PB-4470
Date: 02/09/2026
Amount: ₹51,000.00
Company code: 1000
PO: 4500012345
Doc no: 5100000001
Status: open</t>
  </si>
  <si>
    <t>Vendor: Patel Brothers Transport (V30)
Invoice no: PB-4407
Date: 23/09/2026
Amount: ₹51,300.00
Company code: 1000
PO: 4500012345
Doc no: 5100000002
Status: open</t>
  </si>
  <si>
    <t>Patel Brothers Transport billed PB-4470 for ₹51,000.00 on 02/09/2026 and PB-4407 for ₹51,300.00 on 23/09/2026, both in company code 1000. This pair could be legitimate due to a possible typo in the invoice number, so confirm with the supplier before paying.</t>
  </si>
  <si>
    <t>Vendor: Shree Ganesh Forgings Works (V18)
Invoice no: INV-4412
Date: 02/09/2026
Amount: ₹62,000.00
Company code: 1000
PO: 4500012345
Doc no: 5100000001
Status: open</t>
  </si>
  <si>
    <t>Vendor: Shree Ganesh Forgings Works (V18)
Invoice no: INV-412
Date: 03/09/2026
Amount: ₹62,000.00
Company code: 1000
PO: 4500012345
Doc no: 5100000002
Status: open</t>
  </si>
  <si>
    <t>Shree Ganesh Forgings Works billed INV-4412 for ₹62,000.00 on 02/09/2026 and INV-412 for ₹62,000.00 on 03/09/2026, both in company code 1000. This looks like a duplicate invoice pair, so confirm with the supplier before paying.</t>
  </si>
  <si>
    <t>Vendor: Surya Cables Ltd (V22)
Invoice no: AB1234
Date: 02/09/2026
Amount: ₹78,400.00
Company code: 1000
PO: 4500012345
Doc no: 5100000001
Status: open</t>
  </si>
  <si>
    <t>Vendor: Surya Cables Ltd (V22)
Invoice no: AB1243
Date: 06/09/2026
Amount: ₹78,400.00
Company code: 1000
PO: 4500012345
Doc no: 5100000002
Status: open</t>
  </si>
  <si>
    <t>Surya Cables Ltd billed AB1234 for ₹78,400.00 on 02/09/2026 and again with a similar reference AB1243 for the same amount on 06/09/2026, both in company code 1000. This looks like a duplicate, so confirm with the supplier before paying.</t>
  </si>
  <si>
    <t>Vendor: Gujarat Alloys Ltd (V21)
Invoice no: GA-1020
Date: 02/09/2026
Amount: ₹3,00,000.00
Company code: 1000
PO: 4500012345
Doc no: 5100000001
Status: open</t>
  </si>
  <si>
    <t>Vendor: Gujarat Alloys Ltd (V21)
Invoice no: GA-1020
Date: 06/09/2026
Amount: ₹3,02,900.00
Company code: 1000
PO: 4500012345
Doc no: 5100000002
Status: open</t>
  </si>
  <si>
    <t>Gujarat Alloys Ltd billed GA-1020 for ₹3,00,000.00 on 02/09/2026 and again on 06/09/2026 for GA-1020 at ₹3,02,900.00, both in company code 1000. This looks like the same invoice entered twice.</t>
  </si>
  <si>
    <t>Vendor: Hindustan Valves Pvt Ltd (V6)
Invoice no: HV-8830
Date: 02/09/2026
Amount: ₹5,15,000.00
Company code: 1000
PO: 4500012345
Doc no: 5100000001
Status: open</t>
  </si>
  <si>
    <t>Vendor: HINDUSTAN VALVES PRIVATE LIMITED (V7)
Invoice no: HV-8830
Date: 05/09/2026
Amount: ₹5,15,000.00
Company code: 1000
PO: 4500012345
Doc no: 5100000002
Status: open</t>
  </si>
  <si>
    <t>Hindustan Valves Pvt Ltd billed HV-8830 for ₹5,15,000.00 on 02/09/2026, and the same number is open again from 05/09/2026 under HINDUSTAN VALVES PRIVATE LIMITED in company code 1000. This looks like the same invoice entered twice, so confirm with the supplier before paying.</t>
  </si>
  <si>
    <t>Vendor: Orion Lubricants Inc (V20)
Invoice no: OL-3318
Date: 02/09/2026
Amount: ₹27,800.00
Company code: 1000
PO: 4500012345
Doc no: 5100000001
Status: open</t>
  </si>
  <si>
    <t>Vendor: Orion Lubricants Inc (V20)
Invoice no: OL-3381
Date: 20/09/2026
Amount: ₹27,800.00
Company code: 2000
PO: 4500012345
Doc no: 5100000002
Status: open</t>
  </si>
  <si>
    <t>Orion Lubricants Inc billed OL-3318 for ₹27,800.00 on 02/09/2026 and again with a similar reference OL-3381 on 20/09/2026, posted in company codes 1000 and 2000. This looks like a duplicate, so confirm with them before paying.</t>
  </si>
  <si>
    <t>Tirupati Wire Products billed TW-2210 for ₹2,00,000.00 on 02/09/2026 and again on 04/09/2026. The second bill carries a revised GST rate, which suggests a re-issued invoice that is likely a repeat.</t>
  </si>
  <si>
    <t>Vendor: Delta Valves Pvt Ltd (V27)
Invoice no: DV-7001
Date: 02/09/2026
Amount: ₹6,40,000.00
Company code: 1000
PO: 4500012345
Doc no: 5100000001
Status: open</t>
  </si>
  <si>
    <t>Vendor: Delta Valves Pvt Ltd (V27)
Invoice no: DV-70010
Date: 18/09/2026
Amount: ₹6,43,000.00
Company code: 1000
PO: 4500012345
Doc no: 5100000002
Status: open</t>
  </si>
  <si>
    <t>Delta Valves Pvt Ltd billed DV-7001 for ₹6,40,000.00 on 02/09/2026 and again with a possibly typoed number DV-70010 for ₹6,43,000.00 on 18/09/2026, both in company code 1000. This looks like a duplicate, so confirm with the supplier before paying.</t>
  </si>
  <si>
    <t>Sundaram Fasteners Pvt Ltd billed INV-2041 for ₹98,250.00 on 02/09/2026 and again on 04/09/2026. This looks like the same invoice entered twice, so the supplier should be asked to confirm first.</t>
  </si>
  <si>
    <t>Apex Bearings Ltd billed AB-7712 for ₹4,67,300.00 on 02/09/2026 and again on 12/10/2026 for ₹4,68,100.00, both in company code 1000. This looks like the same invoice entered twice.</t>
  </si>
  <si>
    <t>Navkar Chemicals Pvt Ltd billed SF55 for ₹3,18,750.00 on 02/09/2026 and again with a similar reference SF55A on 04/09/2026, both in company code 1000. This looks like a duplicate, so confirm with the supplier before paying because the invoice number may have a typo.</t>
  </si>
  <si>
    <t>P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</si>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</sst>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0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2"/>
      <name val="Arial"/>
      <charset val="1"/>
    </font>
    <font>
      <sz val="10"/>
      <color rgb="FF808080"/>
      <name val="Arial"/>
      <charset val="1"/>
    </font>
    <font>
      <b/>
      <sz val="10"/>
      <color rgb="FF067647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FFF2CC"/>
        <bgColor rgb="FFFEF0C7"/>
      </patternFill>
    </fill>
    <fill>
      <patternFill patternType="solid">
        <fgColor rgb="FF1F3864"/>
        <bgColor rgb="FF333333"/>
      </patternFill>
    </fill>
    <fill>
      <patternFill patternType="solid">
        <fgColor rgb="FFFDE2E1"/>
        <bgColor rgb="FFE7E6E6"/>
      </patternFill>
    </fill>
    <fill>
      <patternFill patternType="solid">
        <fgColor rgb="FFE7E6E6"/>
        <bgColor rgb="FFD9E1F2"/>
      </patternFill>
    </fill>
    <fill>
      <patternFill patternType="solid">
        <fgColor rgb="FFE3F2E8"/>
        <bgColor rgb="FFE7E6E6"/>
      </patternFill>
    </fill>
    <fill>
      <patternFill patternType="solid">
        <fgColor rgb="FFFEF0C7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2">
    <dxf>
      <font>
        <b/>
        <color rgb="FFB42318"/>
        <name val="Arial"/>
        <charset val="1"/>
      </font>
      <fill>
        <patternFill>
          <bgColor rgb="FFF4CCCC"/>
        </patternFill>
      </fill>
    </dxf>
    <dxf>
      <font>
        <b/>
        <color rgb="FF067647"/>
        <name val="Arial"/>
        <charset val="1"/>
      </font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7647"/>
      <rgbColor rgb="FFBFBFBF"/>
      <rgbColor rgb="FF808080"/>
      <rgbColor rgb="FF9999FF"/>
      <rgbColor rgb="FF993366"/>
      <rgbColor rgb="FFFFF2CC"/>
      <rgbColor rgb="FFE3F2E8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D9EAD3"/>
      <rgbColor rgb="FFFEF0C7"/>
      <rgbColor rgb="FF99CCFF"/>
      <rgbColor rgb="FFFDE2E1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B42318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zoomScaleNormal="100" workbookViewId="0"/>
  </sheetViews>
  <sheetFormatPr defaultColWidth="8.6328125" defaultRowHeight="14.5" x14ac:dyDescent="0.35"/>
  <cols>
    <col min="1" max="1" width="22" customWidth="1"/>
    <col min="2" max="2" width="95" customWidth="1"/>
  </cols>
  <sheetData>
    <row r="1" spans="1:2" ht="54" x14ac:dyDescent="0.35">
      <c r="A1" s="1" t="s">
        <v>0</v>
      </c>
      <c r="B1" s="1"/>
    </row>
    <row r="2" spans="1:2" x14ac:dyDescent="0.35">
      <c r="A2" s="2" t="s">
        <v>1</v>
      </c>
      <c r="B2" s="3" t="str">
        <f>COUNTIF(Labels!I2:M41,"P")+COUNTIF(Labels!I2:M41,"F")&amp;" of 160 cells labelled"</f>
        <v>160 of 160 cells labelled</v>
      </c>
    </row>
    <row r="4" spans="1:2" ht="25" x14ac:dyDescent="0.35">
      <c r="A4" s="4" t="s">
        <v>2</v>
      </c>
      <c r="B4" s="4" t="s">
        <v>3</v>
      </c>
    </row>
    <row r="5" spans="1:2" x14ac:dyDescent="0.35">
      <c r="A5" s="4" t="s">
        <v>4</v>
      </c>
      <c r="B5" s="4" t="s">
        <v>5</v>
      </c>
    </row>
    <row r="7" spans="1:2" x14ac:dyDescent="0.35">
      <c r="A7" s="5" t="s">
        <v>6</v>
      </c>
      <c r="B7" s="5" t="s">
        <v>7</v>
      </c>
    </row>
    <row r="8" spans="1:2" ht="25" x14ac:dyDescent="0.35">
      <c r="A8" s="4" t="s">
        <v>8</v>
      </c>
      <c r="B8" s="4" t="s">
        <v>9</v>
      </c>
    </row>
    <row r="9" spans="1:2" x14ac:dyDescent="0.35">
      <c r="A9" s="4" t="s">
        <v>10</v>
      </c>
      <c r="B9" s="4" t="s">
        <v>11</v>
      </c>
    </row>
    <row r="10" spans="1:2" ht="25" x14ac:dyDescent="0.35">
      <c r="A10" s="4" t="s">
        <v>12</v>
      </c>
      <c r="B10" s="4" t="s">
        <v>13</v>
      </c>
    </row>
    <row r="11" spans="1:2" ht="25" x14ac:dyDescent="0.35">
      <c r="A11" s="4" t="s">
        <v>14</v>
      </c>
      <c r="B11" s="4" t="s">
        <v>15</v>
      </c>
    </row>
    <row r="12" spans="1:2" ht="25" x14ac:dyDescent="0.35">
      <c r="A12" s="4" t="s">
        <v>16</v>
      </c>
      <c r="B12" s="4" t="s">
        <v>17</v>
      </c>
    </row>
    <row r="14" spans="1:2" ht="25" x14ac:dyDescent="0.35">
      <c r="A14" s="6" t="s">
        <v>18</v>
      </c>
      <c r="B14" s="6" t="s">
        <v>19</v>
      </c>
    </row>
    <row r="16" spans="1:2" ht="69.75" customHeight="1" x14ac:dyDescent="0.35">
      <c r="A16" s="4" t="s">
        <v>20</v>
      </c>
      <c r="B16" s="4" t="s">
        <v>21</v>
      </c>
    </row>
    <row r="18" spans="1:2" ht="25" x14ac:dyDescent="0.35">
      <c r="A18" s="4" t="s">
        <v>22</v>
      </c>
      <c r="B18" s="4" t="s">
        <v>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O41"/>
  <sheetViews>
    <sheetView tabSelected="1" zoomScale="55" zoomScaleNormal="5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45" sqref="H45"/>
    </sheetView>
  </sheetViews>
  <sheetFormatPr defaultColWidth="8.6328125" defaultRowHeight="14.5" x14ac:dyDescent="0.35"/>
  <cols>
    <col min="1" max="1" width="5" customWidth="1"/>
    <col min="2" max="2" width="9" customWidth="1"/>
    <col min="3" max="3" width="7" customWidth="1"/>
    <col min="4" max="4" width="16" customWidth="1"/>
    <col min="5" max="5" width="26" customWidth="1"/>
    <col min="6" max="7" width="32" customWidth="1"/>
    <col min="8" max="8" width="52" customWidth="1"/>
    <col min="9" max="9" width="9" customWidth="1"/>
    <col min="10" max="10" width="11" customWidth="1"/>
    <col min="11" max="11" width="13" customWidth="1"/>
    <col min="12" max="12" width="10" customWidth="1"/>
    <col min="13" max="13" width="13" customWidth="1"/>
    <col min="14" max="14" width="24" customWidth="1"/>
    <col min="15" max="15" width="9" customWidth="1"/>
  </cols>
  <sheetData>
    <row r="1" spans="1:15" ht="48" customHeight="1" x14ac:dyDescent="0.35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K1" s="7" t="s">
        <v>34</v>
      </c>
      <c r="L1" s="7" t="s">
        <v>35</v>
      </c>
      <c r="M1" s="7" t="s">
        <v>36</v>
      </c>
      <c r="N1" s="7" t="s">
        <v>37</v>
      </c>
      <c r="O1" s="7" t="s">
        <v>38</v>
      </c>
    </row>
    <row r="2" spans="1:15" ht="139.5" hidden="1" customHeight="1" x14ac:dyDescent="0.35">
      <c r="A2" s="8">
        <v>1</v>
      </c>
      <c r="B2" s="9" t="s">
        <v>39</v>
      </c>
      <c r="C2" s="8">
        <v>100</v>
      </c>
      <c r="D2" s="10" t="s">
        <v>40</v>
      </c>
      <c r="E2" s="10" t="s">
        <v>41</v>
      </c>
      <c r="F2" s="10" t="s">
        <v>42</v>
      </c>
      <c r="G2" s="10" t="s">
        <v>43</v>
      </c>
      <c r="H2" s="11" t="s">
        <v>44</v>
      </c>
      <c r="I2" s="12" t="s">
        <v>155</v>
      </c>
      <c r="J2" s="12" t="s">
        <v>155</v>
      </c>
      <c r="K2" s="13" t="s">
        <v>45</v>
      </c>
      <c r="L2" s="12" t="s">
        <v>155</v>
      </c>
      <c r="M2" s="12" t="s">
        <v>155</v>
      </c>
      <c r="N2" s="14"/>
      <c r="O2" s="15" t="str">
        <f t="shared" ref="O2:O41" si="0">IF(COUNTBLANK(I2:M2)=0,"Done","")</f>
        <v>Done</v>
      </c>
    </row>
    <row r="3" spans="1:15" ht="139.5" hidden="1" customHeight="1" x14ac:dyDescent="0.35">
      <c r="A3" s="8">
        <v>2</v>
      </c>
      <c r="B3" s="9" t="s">
        <v>39</v>
      </c>
      <c r="C3" s="8">
        <v>90</v>
      </c>
      <c r="D3" s="10" t="s">
        <v>40</v>
      </c>
      <c r="E3" s="10" t="s">
        <v>46</v>
      </c>
      <c r="F3" s="10" t="s">
        <v>47</v>
      </c>
      <c r="G3" s="10" t="s">
        <v>48</v>
      </c>
      <c r="H3" s="11" t="s">
        <v>49</v>
      </c>
      <c r="I3" s="12" t="s">
        <v>155</v>
      </c>
      <c r="J3" s="12" t="s">
        <v>155</v>
      </c>
      <c r="K3" s="13" t="s">
        <v>45</v>
      </c>
      <c r="L3" s="12" t="s">
        <v>155</v>
      </c>
      <c r="M3" s="12" t="s">
        <v>155</v>
      </c>
      <c r="N3" s="14"/>
      <c r="O3" s="15" t="str">
        <f t="shared" si="0"/>
        <v>Done</v>
      </c>
    </row>
    <row r="4" spans="1:15" ht="139.5" hidden="1" customHeight="1" x14ac:dyDescent="0.35">
      <c r="A4" s="8">
        <v>3</v>
      </c>
      <c r="B4" s="9" t="s">
        <v>39</v>
      </c>
      <c r="C4" s="8">
        <v>100</v>
      </c>
      <c r="D4" s="10" t="s">
        <v>50</v>
      </c>
      <c r="E4" s="10" t="s">
        <v>51</v>
      </c>
      <c r="F4" s="10" t="s">
        <v>52</v>
      </c>
      <c r="G4" s="10" t="s">
        <v>53</v>
      </c>
      <c r="H4" s="11" t="s">
        <v>54</v>
      </c>
      <c r="I4" s="12" t="s">
        <v>155</v>
      </c>
      <c r="J4" s="12" t="s">
        <v>155</v>
      </c>
      <c r="K4" s="13" t="s">
        <v>45</v>
      </c>
      <c r="L4" s="12" t="s">
        <v>155</v>
      </c>
      <c r="M4" s="12" t="s">
        <v>155</v>
      </c>
      <c r="N4" s="14"/>
      <c r="O4" s="15" t="str">
        <f t="shared" si="0"/>
        <v>Done</v>
      </c>
    </row>
    <row r="5" spans="1:15" ht="139.5" hidden="1" customHeight="1" x14ac:dyDescent="0.35">
      <c r="A5" s="8">
        <v>4</v>
      </c>
      <c r="B5" s="9" t="s">
        <v>39</v>
      </c>
      <c r="C5" s="8">
        <v>100</v>
      </c>
      <c r="D5" s="10" t="s">
        <v>40</v>
      </c>
      <c r="E5" s="10" t="s">
        <v>55</v>
      </c>
      <c r="F5" s="10" t="s">
        <v>56</v>
      </c>
      <c r="G5" s="10" t="s">
        <v>57</v>
      </c>
      <c r="H5" s="11" t="s">
        <v>58</v>
      </c>
      <c r="I5" s="12" t="s">
        <v>155</v>
      </c>
      <c r="J5" s="12" t="s">
        <v>155</v>
      </c>
      <c r="K5" s="13" t="s">
        <v>45</v>
      </c>
      <c r="L5" s="12" t="s">
        <v>155</v>
      </c>
      <c r="M5" s="12" t="s">
        <v>155</v>
      </c>
      <c r="N5" s="14"/>
      <c r="O5" s="15" t="str">
        <f t="shared" si="0"/>
        <v>Done</v>
      </c>
    </row>
    <row r="6" spans="1:15" ht="139.5" hidden="1" customHeight="1" x14ac:dyDescent="0.35">
      <c r="A6" s="8">
        <v>5</v>
      </c>
      <c r="B6" s="16" t="s">
        <v>59</v>
      </c>
      <c r="C6" s="8">
        <v>55</v>
      </c>
      <c r="D6" s="10" t="s">
        <v>50</v>
      </c>
      <c r="E6" s="10" t="s">
        <v>60</v>
      </c>
      <c r="F6" s="10" t="s">
        <v>61</v>
      </c>
      <c r="G6" s="10" t="s">
        <v>62</v>
      </c>
      <c r="H6" s="11" t="s">
        <v>63</v>
      </c>
      <c r="I6" s="12" t="s">
        <v>155</v>
      </c>
      <c r="J6" s="13" t="s">
        <v>45</v>
      </c>
      <c r="K6" s="12" t="s">
        <v>155</v>
      </c>
      <c r="L6" s="12" t="s">
        <v>155</v>
      </c>
      <c r="M6" s="12" t="s">
        <v>155</v>
      </c>
      <c r="N6" s="14"/>
      <c r="O6" s="15" t="str">
        <f t="shared" si="0"/>
        <v>Done</v>
      </c>
    </row>
    <row r="7" spans="1:15" ht="139.5" hidden="1" customHeight="1" x14ac:dyDescent="0.35">
      <c r="A7" s="8">
        <v>6</v>
      </c>
      <c r="B7" s="16" t="s">
        <v>59</v>
      </c>
      <c r="C7" s="8">
        <v>55</v>
      </c>
      <c r="D7" s="10" t="s">
        <v>50</v>
      </c>
      <c r="E7" s="10" t="s">
        <v>60</v>
      </c>
      <c r="F7" s="10" t="s">
        <v>64</v>
      </c>
      <c r="G7" s="10" t="s">
        <v>65</v>
      </c>
      <c r="H7" s="11" t="s">
        <v>66</v>
      </c>
      <c r="I7" s="12" t="s">
        <v>155</v>
      </c>
      <c r="J7" s="13" t="s">
        <v>45</v>
      </c>
      <c r="K7" s="12" t="s">
        <v>155</v>
      </c>
      <c r="L7" s="12" t="s">
        <v>155</v>
      </c>
      <c r="M7" s="12" t="s">
        <v>155</v>
      </c>
      <c r="N7" s="14"/>
      <c r="O7" s="15" t="str">
        <f t="shared" si="0"/>
        <v>Done</v>
      </c>
    </row>
    <row r="8" spans="1:15" ht="139.5" hidden="1" customHeight="1" x14ac:dyDescent="0.35">
      <c r="A8" s="8">
        <v>7</v>
      </c>
      <c r="B8" s="16" t="s">
        <v>59</v>
      </c>
      <c r="C8" s="8">
        <v>55</v>
      </c>
      <c r="D8" s="10" t="s">
        <v>50</v>
      </c>
      <c r="E8" s="10" t="s">
        <v>60</v>
      </c>
      <c r="F8" s="10" t="s">
        <v>67</v>
      </c>
      <c r="G8" s="10" t="s">
        <v>68</v>
      </c>
      <c r="H8" s="11" t="s">
        <v>69</v>
      </c>
      <c r="I8" s="12" t="s">
        <v>155</v>
      </c>
      <c r="J8" s="13" t="s">
        <v>45</v>
      </c>
      <c r="K8" s="12" t="s">
        <v>155</v>
      </c>
      <c r="L8" s="12" t="s">
        <v>155</v>
      </c>
      <c r="M8" s="12" t="s">
        <v>155</v>
      </c>
      <c r="N8" s="14"/>
      <c r="O8" s="15" t="str">
        <f t="shared" si="0"/>
        <v>Done</v>
      </c>
    </row>
    <row r="9" spans="1:15" ht="139.5" customHeight="1" x14ac:dyDescent="0.35">
      <c r="A9" s="8">
        <v>8</v>
      </c>
      <c r="B9" s="9" t="s">
        <v>39</v>
      </c>
      <c r="C9" s="8">
        <v>90</v>
      </c>
      <c r="D9" s="10" t="s">
        <v>40</v>
      </c>
      <c r="E9" s="10" t="s">
        <v>46</v>
      </c>
      <c r="F9" s="10" t="s">
        <v>70</v>
      </c>
      <c r="G9" s="10" t="s">
        <v>71</v>
      </c>
      <c r="H9" s="11" t="s">
        <v>72</v>
      </c>
      <c r="I9" s="12" t="s">
        <v>155</v>
      </c>
      <c r="J9" s="12" t="s">
        <v>155</v>
      </c>
      <c r="K9" s="13" t="s">
        <v>45</v>
      </c>
      <c r="L9" s="12" t="s">
        <v>155</v>
      </c>
      <c r="M9" s="12" t="s">
        <v>155</v>
      </c>
      <c r="N9" s="14"/>
      <c r="O9" s="15" t="str">
        <f t="shared" si="0"/>
        <v>Done</v>
      </c>
    </row>
    <row r="10" spans="1:15" ht="139.5" hidden="1" customHeight="1" x14ac:dyDescent="0.35">
      <c r="A10" s="8">
        <v>9</v>
      </c>
      <c r="B10" s="17" t="s">
        <v>73</v>
      </c>
      <c r="C10" s="8">
        <v>70</v>
      </c>
      <c r="D10" s="10" t="s">
        <v>50</v>
      </c>
      <c r="E10" s="10" t="s">
        <v>74</v>
      </c>
      <c r="F10" s="10" t="s">
        <v>75</v>
      </c>
      <c r="G10" s="10" t="s">
        <v>76</v>
      </c>
      <c r="H10" s="11" t="s">
        <v>77</v>
      </c>
      <c r="I10" s="12" t="s">
        <v>155</v>
      </c>
      <c r="J10" s="12" t="s">
        <v>155</v>
      </c>
      <c r="K10" s="13" t="s">
        <v>45</v>
      </c>
      <c r="L10" s="12" t="s">
        <v>155</v>
      </c>
      <c r="M10" s="12" t="s">
        <v>155</v>
      </c>
      <c r="N10" s="14"/>
      <c r="O10" s="15" t="str">
        <f t="shared" si="0"/>
        <v>Done</v>
      </c>
    </row>
    <row r="11" spans="1:15" ht="139.5" hidden="1" customHeight="1" x14ac:dyDescent="0.35">
      <c r="A11" s="8">
        <v>10</v>
      </c>
      <c r="B11" s="9" t="s">
        <v>39</v>
      </c>
      <c r="C11" s="8">
        <v>100</v>
      </c>
      <c r="D11" s="10" t="s">
        <v>40</v>
      </c>
      <c r="E11" s="10" t="s">
        <v>41</v>
      </c>
      <c r="F11" s="10" t="s">
        <v>78</v>
      </c>
      <c r="G11" s="10" t="s">
        <v>79</v>
      </c>
      <c r="H11" s="11" t="s">
        <v>80</v>
      </c>
      <c r="I11" s="12" t="s">
        <v>155</v>
      </c>
      <c r="J11" s="12" t="s">
        <v>155</v>
      </c>
      <c r="K11" s="13" t="s">
        <v>45</v>
      </c>
      <c r="L11" s="12" t="s">
        <v>155</v>
      </c>
      <c r="M11" s="12" t="s">
        <v>155</v>
      </c>
      <c r="N11" s="14"/>
      <c r="O11" s="15" t="str">
        <f t="shared" si="0"/>
        <v>Done</v>
      </c>
    </row>
    <row r="12" spans="1:15" ht="139.5" hidden="1" customHeight="1" x14ac:dyDescent="0.35">
      <c r="A12" s="8">
        <v>11</v>
      </c>
      <c r="B12" s="9" t="s">
        <v>39</v>
      </c>
      <c r="C12" s="8">
        <v>90</v>
      </c>
      <c r="D12" s="10" t="s">
        <v>40</v>
      </c>
      <c r="E12" s="10" t="s">
        <v>46</v>
      </c>
      <c r="F12" s="10" t="s">
        <v>70</v>
      </c>
      <c r="G12" s="10" t="s">
        <v>71</v>
      </c>
      <c r="H12" s="11" t="s">
        <v>81</v>
      </c>
      <c r="I12" s="12" t="s">
        <v>155</v>
      </c>
      <c r="J12" s="12" t="s">
        <v>155</v>
      </c>
      <c r="K12" s="13" t="s">
        <v>45</v>
      </c>
      <c r="L12" s="12" t="s">
        <v>155</v>
      </c>
      <c r="M12" s="12" t="s">
        <v>155</v>
      </c>
      <c r="N12" s="14"/>
      <c r="O12" s="15" t="str">
        <f t="shared" si="0"/>
        <v>Done</v>
      </c>
    </row>
    <row r="13" spans="1:15" ht="139.5" hidden="1" customHeight="1" x14ac:dyDescent="0.35">
      <c r="A13" s="8">
        <v>12</v>
      </c>
      <c r="B13" s="17" t="s">
        <v>73</v>
      </c>
      <c r="C13" s="8">
        <v>75</v>
      </c>
      <c r="D13" s="10" t="s">
        <v>40</v>
      </c>
      <c r="E13" s="10" t="s">
        <v>82</v>
      </c>
      <c r="F13" s="10" t="s">
        <v>83</v>
      </c>
      <c r="G13" s="10" t="s">
        <v>84</v>
      </c>
      <c r="H13" s="11" t="s">
        <v>85</v>
      </c>
      <c r="I13" s="12" t="s">
        <v>155</v>
      </c>
      <c r="J13" s="12" t="s">
        <v>155</v>
      </c>
      <c r="K13" s="13" t="s">
        <v>45</v>
      </c>
      <c r="L13" s="12" t="s">
        <v>155</v>
      </c>
      <c r="M13" s="12" t="s">
        <v>155</v>
      </c>
      <c r="N13" s="14"/>
      <c r="O13" s="15" t="str">
        <f t="shared" si="0"/>
        <v>Done</v>
      </c>
    </row>
    <row r="14" spans="1:15" ht="139.5" customHeight="1" x14ac:dyDescent="0.35">
      <c r="A14" s="8">
        <v>13</v>
      </c>
      <c r="B14" s="17" t="s">
        <v>73</v>
      </c>
      <c r="C14" s="8">
        <v>70</v>
      </c>
      <c r="D14" s="10" t="s">
        <v>50</v>
      </c>
      <c r="E14" s="10" t="s">
        <v>74</v>
      </c>
      <c r="F14" s="10" t="s">
        <v>86</v>
      </c>
      <c r="G14" s="10" t="s">
        <v>87</v>
      </c>
      <c r="H14" s="11" t="s">
        <v>88</v>
      </c>
      <c r="I14" s="12" t="s">
        <v>155</v>
      </c>
      <c r="J14" s="12" t="s">
        <v>155</v>
      </c>
      <c r="K14" s="13" t="s">
        <v>45</v>
      </c>
      <c r="L14" s="12" t="s">
        <v>155</v>
      </c>
      <c r="M14" s="12" t="s">
        <v>155</v>
      </c>
      <c r="N14" s="14"/>
      <c r="O14" s="15" t="str">
        <f t="shared" si="0"/>
        <v>Done</v>
      </c>
    </row>
    <row r="15" spans="1:15" ht="139.5" customHeight="1" x14ac:dyDescent="0.35">
      <c r="A15" s="8">
        <v>14</v>
      </c>
      <c r="B15" s="9" t="s">
        <v>39</v>
      </c>
      <c r="C15" s="8">
        <v>100</v>
      </c>
      <c r="D15" s="10" t="s">
        <v>40</v>
      </c>
      <c r="E15" s="10" t="s">
        <v>89</v>
      </c>
      <c r="F15" s="10" t="s">
        <v>90</v>
      </c>
      <c r="G15" s="10" t="s">
        <v>91</v>
      </c>
      <c r="H15" s="11" t="s">
        <v>92</v>
      </c>
      <c r="I15" s="12" t="s">
        <v>155</v>
      </c>
      <c r="J15" s="12" t="s">
        <v>155</v>
      </c>
      <c r="K15" s="13" t="s">
        <v>45</v>
      </c>
      <c r="L15" s="12" t="s">
        <v>155</v>
      </c>
      <c r="M15" s="12" t="s">
        <v>155</v>
      </c>
      <c r="N15" s="14"/>
      <c r="O15" s="15" t="str">
        <f t="shared" si="0"/>
        <v>Done</v>
      </c>
    </row>
    <row r="16" spans="1:15" ht="139.5" customHeight="1" x14ac:dyDescent="0.35">
      <c r="A16" s="8">
        <v>15</v>
      </c>
      <c r="B16" s="9" t="s">
        <v>39</v>
      </c>
      <c r="C16" s="8">
        <v>80</v>
      </c>
      <c r="D16" s="10" t="s">
        <v>40</v>
      </c>
      <c r="E16" s="10" t="s">
        <v>93</v>
      </c>
      <c r="F16" s="10" t="s">
        <v>94</v>
      </c>
      <c r="G16" s="10" t="s">
        <v>95</v>
      </c>
      <c r="H16" s="11" t="s">
        <v>96</v>
      </c>
      <c r="I16" s="12" t="s">
        <v>155</v>
      </c>
      <c r="J16" s="12" t="s">
        <v>155</v>
      </c>
      <c r="K16" s="13" t="s">
        <v>45</v>
      </c>
      <c r="L16" s="12" t="s">
        <v>155</v>
      </c>
      <c r="M16" s="12" t="s">
        <v>155</v>
      </c>
      <c r="N16" s="14"/>
      <c r="O16" s="15" t="str">
        <f t="shared" si="0"/>
        <v>Done</v>
      </c>
    </row>
    <row r="17" spans="1:15" ht="139.5" hidden="1" customHeight="1" x14ac:dyDescent="0.35">
      <c r="A17" s="8">
        <v>16</v>
      </c>
      <c r="B17" s="16" t="s">
        <v>59</v>
      </c>
      <c r="C17" s="8">
        <v>55</v>
      </c>
      <c r="D17" s="10" t="s">
        <v>50</v>
      </c>
      <c r="E17" s="10" t="s">
        <v>60</v>
      </c>
      <c r="F17" s="10" t="s">
        <v>67</v>
      </c>
      <c r="G17" s="10" t="s">
        <v>68</v>
      </c>
      <c r="H17" s="11" t="s">
        <v>97</v>
      </c>
      <c r="I17" s="12" t="s">
        <v>155</v>
      </c>
      <c r="J17" s="13" t="s">
        <v>45</v>
      </c>
      <c r="K17" s="12" t="s">
        <v>156</v>
      </c>
      <c r="L17" s="12" t="s">
        <v>155</v>
      </c>
      <c r="M17" s="12" t="s">
        <v>155</v>
      </c>
      <c r="N17" s="14"/>
      <c r="O17" s="15" t="str">
        <f t="shared" si="0"/>
        <v>Done</v>
      </c>
    </row>
    <row r="18" spans="1:15" ht="139.5" hidden="1" customHeight="1" x14ac:dyDescent="0.35">
      <c r="A18" s="8">
        <v>17</v>
      </c>
      <c r="B18" s="17" t="s">
        <v>73</v>
      </c>
      <c r="C18" s="8">
        <v>70</v>
      </c>
      <c r="D18" s="10" t="s">
        <v>50</v>
      </c>
      <c r="E18" s="10" t="s">
        <v>74</v>
      </c>
      <c r="F18" s="10" t="s">
        <v>98</v>
      </c>
      <c r="G18" s="10" t="s">
        <v>99</v>
      </c>
      <c r="H18" s="11" t="s">
        <v>100</v>
      </c>
      <c r="I18" s="12" t="s">
        <v>155</v>
      </c>
      <c r="J18" s="12" t="s">
        <v>155</v>
      </c>
      <c r="K18" s="13" t="s">
        <v>45</v>
      </c>
      <c r="L18" s="12" t="s">
        <v>155</v>
      </c>
      <c r="M18" s="12" t="s">
        <v>155</v>
      </c>
      <c r="N18" s="14"/>
      <c r="O18" s="15" t="str">
        <f t="shared" si="0"/>
        <v>Done</v>
      </c>
    </row>
    <row r="19" spans="1:15" ht="139.5" hidden="1" customHeight="1" x14ac:dyDescent="0.35">
      <c r="A19" s="8">
        <v>18</v>
      </c>
      <c r="B19" s="16" t="s">
        <v>59</v>
      </c>
      <c r="C19" s="8">
        <v>55</v>
      </c>
      <c r="D19" s="10" t="s">
        <v>50</v>
      </c>
      <c r="E19" s="10" t="s">
        <v>60</v>
      </c>
      <c r="F19" s="10" t="s">
        <v>101</v>
      </c>
      <c r="G19" s="10" t="s">
        <v>102</v>
      </c>
      <c r="H19" s="11" t="s">
        <v>103</v>
      </c>
      <c r="I19" s="12" t="s">
        <v>155</v>
      </c>
      <c r="J19" s="13" t="s">
        <v>45</v>
      </c>
      <c r="K19" s="12" t="s">
        <v>156</v>
      </c>
      <c r="L19" s="12" t="s">
        <v>155</v>
      </c>
      <c r="M19" s="12" t="s">
        <v>155</v>
      </c>
      <c r="N19" s="14"/>
      <c r="O19" s="15" t="str">
        <f t="shared" si="0"/>
        <v>Done</v>
      </c>
    </row>
    <row r="20" spans="1:15" ht="139.5" hidden="1" customHeight="1" x14ac:dyDescent="0.35">
      <c r="A20" s="8">
        <v>19</v>
      </c>
      <c r="B20" s="16" t="s">
        <v>59</v>
      </c>
      <c r="C20" s="8">
        <v>55</v>
      </c>
      <c r="D20" s="10" t="s">
        <v>50</v>
      </c>
      <c r="E20" s="10" t="s">
        <v>60</v>
      </c>
      <c r="F20" s="10" t="s">
        <v>104</v>
      </c>
      <c r="G20" s="10" t="s">
        <v>105</v>
      </c>
      <c r="H20" s="11" t="s">
        <v>106</v>
      </c>
      <c r="I20" s="12" t="s">
        <v>155</v>
      </c>
      <c r="J20" s="13" t="s">
        <v>45</v>
      </c>
      <c r="K20" s="12" t="s">
        <v>156</v>
      </c>
      <c r="L20" s="12" t="s">
        <v>155</v>
      </c>
      <c r="M20" s="12" t="s">
        <v>155</v>
      </c>
      <c r="N20" s="14"/>
      <c r="O20" s="15" t="str">
        <f t="shared" si="0"/>
        <v>Done</v>
      </c>
    </row>
    <row r="21" spans="1:15" ht="139.5" hidden="1" customHeight="1" x14ac:dyDescent="0.35">
      <c r="A21" s="8">
        <v>20</v>
      </c>
      <c r="B21" s="9" t="s">
        <v>39</v>
      </c>
      <c r="C21" s="8">
        <v>100</v>
      </c>
      <c r="D21" s="10" t="s">
        <v>40</v>
      </c>
      <c r="E21" s="10" t="s">
        <v>89</v>
      </c>
      <c r="F21" s="10" t="s">
        <v>90</v>
      </c>
      <c r="G21" s="10" t="s">
        <v>91</v>
      </c>
      <c r="H21" s="11" t="s">
        <v>107</v>
      </c>
      <c r="I21" s="12" t="s">
        <v>155</v>
      </c>
      <c r="J21" s="12" t="s">
        <v>155</v>
      </c>
      <c r="K21" s="13" t="s">
        <v>45</v>
      </c>
      <c r="L21" s="12" t="s">
        <v>155</v>
      </c>
      <c r="M21" s="12" t="s">
        <v>155</v>
      </c>
      <c r="N21" s="14"/>
      <c r="O21" s="15" t="str">
        <f t="shared" si="0"/>
        <v>Done</v>
      </c>
    </row>
    <row r="22" spans="1:15" ht="139.5" customHeight="1" x14ac:dyDescent="0.35">
      <c r="A22" s="8">
        <v>21</v>
      </c>
      <c r="B22" s="17" t="s">
        <v>73</v>
      </c>
      <c r="C22" s="8">
        <v>75</v>
      </c>
      <c r="D22" s="10" t="s">
        <v>40</v>
      </c>
      <c r="E22" s="10" t="s">
        <v>82</v>
      </c>
      <c r="F22" s="10" t="s">
        <v>108</v>
      </c>
      <c r="G22" s="10" t="s">
        <v>109</v>
      </c>
      <c r="H22" s="11" t="s">
        <v>110</v>
      </c>
      <c r="I22" s="12" t="s">
        <v>155</v>
      </c>
      <c r="J22" s="12" t="s">
        <v>155</v>
      </c>
      <c r="K22" s="13" t="s">
        <v>45</v>
      </c>
      <c r="L22" s="12" t="s">
        <v>155</v>
      </c>
      <c r="M22" s="12" t="s">
        <v>155</v>
      </c>
      <c r="N22" s="14"/>
      <c r="O22" s="15" t="str">
        <f t="shared" si="0"/>
        <v>Done</v>
      </c>
    </row>
    <row r="23" spans="1:15" ht="139.5" hidden="1" customHeight="1" x14ac:dyDescent="0.35">
      <c r="A23" s="8">
        <v>22</v>
      </c>
      <c r="B23" s="9" t="s">
        <v>39</v>
      </c>
      <c r="C23" s="8">
        <v>90</v>
      </c>
      <c r="D23" s="10" t="s">
        <v>40</v>
      </c>
      <c r="E23" s="10" t="s">
        <v>46</v>
      </c>
      <c r="F23" s="10" t="s">
        <v>111</v>
      </c>
      <c r="G23" s="10" t="s">
        <v>112</v>
      </c>
      <c r="H23" s="11" t="s">
        <v>113</v>
      </c>
      <c r="I23" s="12" t="s">
        <v>155</v>
      </c>
      <c r="J23" s="12" t="s">
        <v>155</v>
      </c>
      <c r="K23" s="13" t="s">
        <v>45</v>
      </c>
      <c r="L23" s="12" t="s">
        <v>155</v>
      </c>
      <c r="M23" s="12" t="s">
        <v>155</v>
      </c>
      <c r="N23" s="14"/>
      <c r="O23" s="15" t="str">
        <f t="shared" si="0"/>
        <v>Done</v>
      </c>
    </row>
    <row r="24" spans="1:15" ht="139.5" hidden="1" customHeight="1" x14ac:dyDescent="0.35">
      <c r="A24" s="8">
        <v>23</v>
      </c>
      <c r="B24" s="16" t="s">
        <v>59</v>
      </c>
      <c r="C24" s="8">
        <v>55</v>
      </c>
      <c r="D24" s="10" t="s">
        <v>50</v>
      </c>
      <c r="E24" s="10" t="s">
        <v>60</v>
      </c>
      <c r="F24" s="10" t="s">
        <v>114</v>
      </c>
      <c r="G24" s="10" t="s">
        <v>115</v>
      </c>
      <c r="H24" s="11" t="s">
        <v>116</v>
      </c>
      <c r="I24" s="12" t="s">
        <v>155</v>
      </c>
      <c r="J24" s="13" t="s">
        <v>45</v>
      </c>
      <c r="K24" s="12" t="s">
        <v>156</v>
      </c>
      <c r="L24" s="12" t="s">
        <v>155</v>
      </c>
      <c r="M24" s="12" t="s">
        <v>155</v>
      </c>
      <c r="N24" s="14"/>
      <c r="O24" s="15" t="str">
        <f t="shared" si="0"/>
        <v>Done</v>
      </c>
    </row>
    <row r="25" spans="1:15" ht="139.5" customHeight="1" x14ac:dyDescent="0.35">
      <c r="A25" s="8">
        <v>24</v>
      </c>
      <c r="B25" s="17" t="s">
        <v>73</v>
      </c>
      <c r="C25" s="8">
        <v>70</v>
      </c>
      <c r="D25" s="10" t="s">
        <v>50</v>
      </c>
      <c r="E25" s="10" t="s">
        <v>74</v>
      </c>
      <c r="F25" s="10" t="s">
        <v>75</v>
      </c>
      <c r="G25" s="10" t="s">
        <v>76</v>
      </c>
      <c r="H25" s="11" t="s">
        <v>117</v>
      </c>
      <c r="I25" s="12" t="s">
        <v>155</v>
      </c>
      <c r="J25" s="12" t="s">
        <v>155</v>
      </c>
      <c r="K25" s="13" t="s">
        <v>45</v>
      </c>
      <c r="L25" s="12" t="s">
        <v>155</v>
      </c>
      <c r="M25" s="12" t="s">
        <v>155</v>
      </c>
      <c r="N25" s="14"/>
      <c r="O25" s="15" t="str">
        <f t="shared" si="0"/>
        <v>Done</v>
      </c>
    </row>
    <row r="26" spans="1:15" ht="139.5" hidden="1" customHeight="1" x14ac:dyDescent="0.35">
      <c r="A26" s="8">
        <v>25</v>
      </c>
      <c r="B26" s="9" t="s">
        <v>39</v>
      </c>
      <c r="C26" s="8">
        <v>100</v>
      </c>
      <c r="D26" s="10" t="s">
        <v>40</v>
      </c>
      <c r="E26" s="10" t="s">
        <v>41</v>
      </c>
      <c r="F26" s="10" t="s">
        <v>42</v>
      </c>
      <c r="G26" s="10" t="s">
        <v>43</v>
      </c>
      <c r="H26" s="11" t="s">
        <v>118</v>
      </c>
      <c r="I26" s="12" t="s">
        <v>155</v>
      </c>
      <c r="J26" s="12" t="s">
        <v>155</v>
      </c>
      <c r="K26" s="13" t="s">
        <v>45</v>
      </c>
      <c r="L26" s="12" t="s">
        <v>155</v>
      </c>
      <c r="M26" s="12" t="s">
        <v>156</v>
      </c>
      <c r="N26" s="14"/>
      <c r="O26" s="15" t="str">
        <f t="shared" si="0"/>
        <v>Done</v>
      </c>
    </row>
    <row r="27" spans="1:15" ht="139.5" hidden="1" customHeight="1" x14ac:dyDescent="0.35">
      <c r="A27" s="8">
        <v>26</v>
      </c>
      <c r="B27" s="17" t="s">
        <v>73</v>
      </c>
      <c r="C27" s="8">
        <v>65</v>
      </c>
      <c r="D27" s="10" t="s">
        <v>40</v>
      </c>
      <c r="E27" s="10" t="s">
        <v>119</v>
      </c>
      <c r="F27" s="10" t="s">
        <v>120</v>
      </c>
      <c r="G27" s="10" t="s">
        <v>121</v>
      </c>
      <c r="H27" s="11" t="s">
        <v>122</v>
      </c>
      <c r="I27" s="12" t="s">
        <v>155</v>
      </c>
      <c r="J27" s="12" t="s">
        <v>155</v>
      </c>
      <c r="K27" s="13" t="s">
        <v>45</v>
      </c>
      <c r="L27" s="12" t="s">
        <v>155</v>
      </c>
      <c r="M27" s="12" t="s">
        <v>156</v>
      </c>
      <c r="N27" s="14"/>
      <c r="O27" s="15" t="str">
        <f t="shared" si="0"/>
        <v>Done</v>
      </c>
    </row>
    <row r="28" spans="1:15" ht="139.5" hidden="1" customHeight="1" x14ac:dyDescent="0.35">
      <c r="A28" s="8">
        <v>27</v>
      </c>
      <c r="B28" s="16" t="s">
        <v>59</v>
      </c>
      <c r="C28" s="8">
        <v>55</v>
      </c>
      <c r="D28" s="10" t="s">
        <v>50</v>
      </c>
      <c r="E28" s="10" t="s">
        <v>60</v>
      </c>
      <c r="F28" s="10" t="s">
        <v>123</v>
      </c>
      <c r="G28" s="10" t="s">
        <v>124</v>
      </c>
      <c r="H28" s="11" t="s">
        <v>125</v>
      </c>
      <c r="I28" s="12" t="s">
        <v>155</v>
      </c>
      <c r="J28" s="13" t="s">
        <v>45</v>
      </c>
      <c r="K28" s="12" t="s">
        <v>155</v>
      </c>
      <c r="L28" s="12" t="s">
        <v>155</v>
      </c>
      <c r="M28" s="12" t="s">
        <v>155</v>
      </c>
      <c r="N28" s="14"/>
      <c r="O28" s="15" t="str">
        <f t="shared" si="0"/>
        <v>Done</v>
      </c>
    </row>
    <row r="29" spans="1:15" ht="139.5" customHeight="1" x14ac:dyDescent="0.35">
      <c r="A29" s="8">
        <v>28</v>
      </c>
      <c r="B29" s="16" t="s">
        <v>59</v>
      </c>
      <c r="C29" s="8">
        <v>55</v>
      </c>
      <c r="D29" s="10" t="s">
        <v>50</v>
      </c>
      <c r="E29" s="10" t="s">
        <v>60</v>
      </c>
      <c r="F29" s="10" t="s">
        <v>126</v>
      </c>
      <c r="G29" s="10" t="s">
        <v>127</v>
      </c>
      <c r="H29" s="11" t="s">
        <v>128</v>
      </c>
      <c r="I29" s="12" t="s">
        <v>155</v>
      </c>
      <c r="J29" s="13" t="s">
        <v>45</v>
      </c>
      <c r="K29" s="12" t="s">
        <v>156</v>
      </c>
      <c r="L29" s="12" t="s">
        <v>155</v>
      </c>
      <c r="M29" s="12" t="s">
        <v>155</v>
      </c>
      <c r="N29" s="14"/>
      <c r="O29" s="15" t="str">
        <f t="shared" si="0"/>
        <v>Done</v>
      </c>
    </row>
    <row r="30" spans="1:15" ht="139.5" hidden="1" customHeight="1" x14ac:dyDescent="0.35">
      <c r="A30" s="8">
        <v>29</v>
      </c>
      <c r="B30" s="9" t="s">
        <v>39</v>
      </c>
      <c r="C30" s="8">
        <v>80</v>
      </c>
      <c r="D30" s="10" t="s">
        <v>40</v>
      </c>
      <c r="E30" s="10" t="s">
        <v>93</v>
      </c>
      <c r="F30" s="10" t="s">
        <v>94</v>
      </c>
      <c r="G30" s="10" t="s">
        <v>95</v>
      </c>
      <c r="H30" s="11" t="s">
        <v>129</v>
      </c>
      <c r="I30" s="12" t="s">
        <v>155</v>
      </c>
      <c r="J30" s="12" t="s">
        <v>155</v>
      </c>
      <c r="K30" s="13" t="s">
        <v>45</v>
      </c>
      <c r="L30" s="12" t="s">
        <v>155</v>
      </c>
      <c r="M30" s="12" t="s">
        <v>155</v>
      </c>
      <c r="N30" s="14"/>
      <c r="O30" s="15" t="str">
        <f t="shared" si="0"/>
        <v>Done</v>
      </c>
    </row>
    <row r="31" spans="1:15" ht="139.5" hidden="1" customHeight="1" x14ac:dyDescent="0.35">
      <c r="A31" s="8">
        <v>30</v>
      </c>
      <c r="B31" s="16" t="s">
        <v>59</v>
      </c>
      <c r="C31" s="8">
        <v>55</v>
      </c>
      <c r="D31" s="10" t="s">
        <v>50</v>
      </c>
      <c r="E31" s="10" t="s">
        <v>60</v>
      </c>
      <c r="F31" s="10" t="s">
        <v>130</v>
      </c>
      <c r="G31" s="10" t="s">
        <v>131</v>
      </c>
      <c r="H31" s="11" t="s">
        <v>132</v>
      </c>
      <c r="I31" s="12" t="s">
        <v>155</v>
      </c>
      <c r="J31" s="13" t="s">
        <v>45</v>
      </c>
      <c r="K31" s="12" t="s">
        <v>156</v>
      </c>
      <c r="L31" s="12" t="s">
        <v>155</v>
      </c>
      <c r="M31" s="12" t="s">
        <v>155</v>
      </c>
      <c r="N31" s="14"/>
      <c r="O31" s="15" t="str">
        <f t="shared" si="0"/>
        <v>Done</v>
      </c>
    </row>
    <row r="32" spans="1:15" ht="139.5" hidden="1" customHeight="1" x14ac:dyDescent="0.35">
      <c r="A32" s="8">
        <v>31</v>
      </c>
      <c r="B32" s="17" t="s">
        <v>73</v>
      </c>
      <c r="C32" s="8">
        <v>70</v>
      </c>
      <c r="D32" s="10" t="s">
        <v>50</v>
      </c>
      <c r="E32" s="10" t="s">
        <v>74</v>
      </c>
      <c r="F32" s="10" t="s">
        <v>133</v>
      </c>
      <c r="G32" s="10" t="s">
        <v>134</v>
      </c>
      <c r="H32" s="11" t="s">
        <v>135</v>
      </c>
      <c r="I32" s="12" t="s">
        <v>155</v>
      </c>
      <c r="J32" s="12" t="s">
        <v>155</v>
      </c>
      <c r="K32" s="13" t="s">
        <v>45</v>
      </c>
      <c r="L32" s="12" t="s">
        <v>155</v>
      </c>
      <c r="M32" s="12" t="s">
        <v>155</v>
      </c>
      <c r="N32" s="14"/>
      <c r="O32" s="15" t="str">
        <f t="shared" si="0"/>
        <v>Done</v>
      </c>
    </row>
    <row r="33" spans="1:15" ht="139.5" hidden="1" customHeight="1" x14ac:dyDescent="0.35">
      <c r="A33" s="8">
        <v>32</v>
      </c>
      <c r="B33" s="17" t="s">
        <v>73</v>
      </c>
      <c r="C33" s="8">
        <v>70</v>
      </c>
      <c r="D33" s="10" t="s">
        <v>50</v>
      </c>
      <c r="E33" s="10" t="s">
        <v>74</v>
      </c>
      <c r="F33" s="10" t="s">
        <v>136</v>
      </c>
      <c r="G33" s="10" t="s">
        <v>137</v>
      </c>
      <c r="H33" s="11" t="s">
        <v>138</v>
      </c>
      <c r="I33" s="12" t="s">
        <v>155</v>
      </c>
      <c r="J33" s="12" t="s">
        <v>155</v>
      </c>
      <c r="K33" s="13" t="s">
        <v>45</v>
      </c>
      <c r="L33" s="12" t="s">
        <v>155</v>
      </c>
      <c r="M33" s="12" t="s">
        <v>155</v>
      </c>
      <c r="N33" s="14"/>
      <c r="O33" s="15" t="str">
        <f t="shared" si="0"/>
        <v>Done</v>
      </c>
    </row>
    <row r="34" spans="1:15" ht="139.5" hidden="1" customHeight="1" x14ac:dyDescent="0.35">
      <c r="A34" s="8">
        <v>33</v>
      </c>
      <c r="B34" s="17" t="s">
        <v>73</v>
      </c>
      <c r="C34" s="8">
        <v>75</v>
      </c>
      <c r="D34" s="10" t="s">
        <v>40</v>
      </c>
      <c r="E34" s="10" t="s">
        <v>82</v>
      </c>
      <c r="F34" s="10" t="s">
        <v>139</v>
      </c>
      <c r="G34" s="10" t="s">
        <v>140</v>
      </c>
      <c r="H34" s="11" t="s">
        <v>141</v>
      </c>
      <c r="I34" s="12" t="s">
        <v>155</v>
      </c>
      <c r="J34" s="12" t="s">
        <v>155</v>
      </c>
      <c r="K34" s="13" t="s">
        <v>45</v>
      </c>
      <c r="L34" s="12" t="s">
        <v>155</v>
      </c>
      <c r="M34" s="12" t="s">
        <v>155</v>
      </c>
      <c r="N34" s="14"/>
      <c r="O34" s="15" t="str">
        <f t="shared" si="0"/>
        <v>Done</v>
      </c>
    </row>
    <row r="35" spans="1:15" ht="139.5" hidden="1" customHeight="1" x14ac:dyDescent="0.35">
      <c r="A35" s="8">
        <v>34</v>
      </c>
      <c r="B35" s="9" t="s">
        <v>39</v>
      </c>
      <c r="C35" s="8">
        <v>100</v>
      </c>
      <c r="D35" s="10" t="s">
        <v>50</v>
      </c>
      <c r="E35" s="10" t="s">
        <v>51</v>
      </c>
      <c r="F35" s="10" t="s">
        <v>142</v>
      </c>
      <c r="G35" s="10" t="s">
        <v>143</v>
      </c>
      <c r="H35" s="11" t="s">
        <v>144</v>
      </c>
      <c r="I35" s="12" t="s">
        <v>155</v>
      </c>
      <c r="J35" s="12" t="s">
        <v>155</v>
      </c>
      <c r="K35" s="13" t="s">
        <v>45</v>
      </c>
      <c r="L35" s="12" t="s">
        <v>155</v>
      </c>
      <c r="M35" s="12" t="s">
        <v>155</v>
      </c>
      <c r="N35" s="14"/>
      <c r="O35" s="15" t="str">
        <f t="shared" si="0"/>
        <v>Done</v>
      </c>
    </row>
    <row r="36" spans="1:15" ht="139.5" hidden="1" customHeight="1" x14ac:dyDescent="0.35">
      <c r="A36" s="8">
        <v>35</v>
      </c>
      <c r="B36" s="17" t="s">
        <v>73</v>
      </c>
      <c r="C36" s="8">
        <v>70</v>
      </c>
      <c r="D36" s="10" t="s">
        <v>50</v>
      </c>
      <c r="E36" s="10" t="s">
        <v>74</v>
      </c>
      <c r="F36" s="10" t="s">
        <v>145</v>
      </c>
      <c r="G36" s="10" t="s">
        <v>146</v>
      </c>
      <c r="H36" s="11" t="s">
        <v>147</v>
      </c>
      <c r="I36" s="12" t="s">
        <v>155</v>
      </c>
      <c r="J36" s="12" t="s">
        <v>155</v>
      </c>
      <c r="K36" s="13" t="s">
        <v>45</v>
      </c>
      <c r="L36" s="12" t="s">
        <v>155</v>
      </c>
      <c r="M36" s="12" t="s">
        <v>155</v>
      </c>
      <c r="N36" s="14"/>
      <c r="O36" s="15" t="str">
        <f t="shared" si="0"/>
        <v>Done</v>
      </c>
    </row>
    <row r="37" spans="1:15" ht="139.5" hidden="1" customHeight="1" x14ac:dyDescent="0.35">
      <c r="A37" s="8">
        <v>36</v>
      </c>
      <c r="B37" s="17" t="s">
        <v>73</v>
      </c>
      <c r="C37" s="8">
        <v>75</v>
      </c>
      <c r="D37" s="10" t="s">
        <v>40</v>
      </c>
      <c r="E37" s="10" t="s">
        <v>82</v>
      </c>
      <c r="F37" s="10" t="s">
        <v>108</v>
      </c>
      <c r="G37" s="10" t="s">
        <v>109</v>
      </c>
      <c r="H37" s="11" t="s">
        <v>148</v>
      </c>
      <c r="I37" s="12" t="s">
        <v>155</v>
      </c>
      <c r="J37" s="12" t="s">
        <v>155</v>
      </c>
      <c r="K37" s="13" t="s">
        <v>45</v>
      </c>
      <c r="L37" s="12" t="s">
        <v>156</v>
      </c>
      <c r="M37" s="12" t="s">
        <v>155</v>
      </c>
      <c r="N37" s="14"/>
      <c r="O37" s="15" t="str">
        <f t="shared" si="0"/>
        <v>Done</v>
      </c>
    </row>
    <row r="38" spans="1:15" ht="139.5" hidden="1" customHeight="1" x14ac:dyDescent="0.35">
      <c r="A38" s="8">
        <v>37</v>
      </c>
      <c r="B38" s="16" t="s">
        <v>59</v>
      </c>
      <c r="C38" s="8">
        <v>55</v>
      </c>
      <c r="D38" s="10" t="s">
        <v>50</v>
      </c>
      <c r="E38" s="10" t="s">
        <v>60</v>
      </c>
      <c r="F38" s="10" t="s">
        <v>149</v>
      </c>
      <c r="G38" s="10" t="s">
        <v>150</v>
      </c>
      <c r="H38" s="11" t="s">
        <v>151</v>
      </c>
      <c r="I38" s="12" t="s">
        <v>155</v>
      </c>
      <c r="J38" s="13" t="s">
        <v>45</v>
      </c>
      <c r="K38" s="12" t="s">
        <v>156</v>
      </c>
      <c r="L38" s="12" t="s">
        <v>155</v>
      </c>
      <c r="M38" s="12" t="s">
        <v>155</v>
      </c>
      <c r="N38" s="14"/>
      <c r="O38" s="15" t="str">
        <f t="shared" si="0"/>
        <v>Done</v>
      </c>
    </row>
    <row r="39" spans="1:15" ht="139.5" hidden="1" customHeight="1" x14ac:dyDescent="0.35">
      <c r="A39" s="8">
        <v>38</v>
      </c>
      <c r="B39" s="9" t="s">
        <v>39</v>
      </c>
      <c r="C39" s="8">
        <v>90</v>
      </c>
      <c r="D39" s="10" t="s">
        <v>40</v>
      </c>
      <c r="E39" s="10" t="s">
        <v>46</v>
      </c>
      <c r="F39" s="10" t="s">
        <v>111</v>
      </c>
      <c r="G39" s="10" t="s">
        <v>112</v>
      </c>
      <c r="H39" s="11" t="s">
        <v>152</v>
      </c>
      <c r="I39" s="12" t="s">
        <v>155</v>
      </c>
      <c r="J39" s="12" t="s">
        <v>155</v>
      </c>
      <c r="K39" s="13" t="s">
        <v>45</v>
      </c>
      <c r="L39" s="12" t="s">
        <v>155</v>
      </c>
      <c r="M39" s="12" t="s">
        <v>155</v>
      </c>
      <c r="N39" s="14"/>
      <c r="O39" s="15" t="str">
        <f t="shared" si="0"/>
        <v>Done</v>
      </c>
    </row>
    <row r="40" spans="1:15" ht="139.5" hidden="1" customHeight="1" x14ac:dyDescent="0.35">
      <c r="A40" s="8">
        <v>39</v>
      </c>
      <c r="B40" s="17" t="s">
        <v>73</v>
      </c>
      <c r="C40" s="8">
        <v>65</v>
      </c>
      <c r="D40" s="10" t="s">
        <v>40</v>
      </c>
      <c r="E40" s="10" t="s">
        <v>119</v>
      </c>
      <c r="F40" s="10" t="s">
        <v>120</v>
      </c>
      <c r="G40" s="10" t="s">
        <v>121</v>
      </c>
      <c r="H40" s="11" t="s">
        <v>153</v>
      </c>
      <c r="I40" s="12" t="s">
        <v>155</v>
      </c>
      <c r="J40" s="12" t="s">
        <v>155</v>
      </c>
      <c r="K40" s="13" t="s">
        <v>45</v>
      </c>
      <c r="L40" s="12" t="s">
        <v>155</v>
      </c>
      <c r="M40" s="12" t="s">
        <v>155</v>
      </c>
      <c r="N40" s="14"/>
      <c r="O40" s="15" t="str">
        <f t="shared" si="0"/>
        <v>Done</v>
      </c>
    </row>
    <row r="41" spans="1:15" ht="139.5" hidden="1" customHeight="1" x14ac:dyDescent="0.35">
      <c r="A41" s="8">
        <v>40</v>
      </c>
      <c r="B41" s="17" t="s">
        <v>73</v>
      </c>
      <c r="C41" s="8">
        <v>70</v>
      </c>
      <c r="D41" s="10" t="s">
        <v>50</v>
      </c>
      <c r="E41" s="10" t="s">
        <v>74</v>
      </c>
      <c r="F41" s="10" t="s">
        <v>86</v>
      </c>
      <c r="G41" s="10" t="s">
        <v>87</v>
      </c>
      <c r="H41" s="11" t="s">
        <v>154</v>
      </c>
      <c r="I41" s="12" t="s">
        <v>155</v>
      </c>
      <c r="J41" s="12" t="s">
        <v>155</v>
      </c>
      <c r="K41" s="13" t="s">
        <v>45</v>
      </c>
      <c r="L41" s="12" t="s">
        <v>155</v>
      </c>
      <c r="M41" s="12" t="s">
        <v>155</v>
      </c>
      <c r="N41" s="14"/>
      <c r="O41" s="15" t="str">
        <f t="shared" si="0"/>
        <v>Done</v>
      </c>
    </row>
  </sheetData>
  <autoFilter ref="A1:O41" xr:uid="{19BC5DE0-436C-4B75-8535-C464A2059945}">
    <filterColumn colId="0">
      <filters>
        <filter val="13"/>
        <filter val="14"/>
        <filter val="15"/>
        <filter val="21"/>
        <filter val="24"/>
        <filter val="28"/>
        <filter val="8"/>
      </filters>
    </filterColumn>
  </autoFilter>
  <conditionalFormatting sqref="I2:M41">
    <cfRule type="cellIs" dxfId="1" priority="2" operator="equal">
      <formula>"P"</formula>
    </cfRule>
    <cfRule type="cellIs" dxfId="0" priority="3" operator="equal">
      <formula>"F"</formula>
    </cfRule>
  </conditionalFormatting>
  <dataValidations count="1">
    <dataValidation type="list" allowBlank="1" showErrorMessage="1" errorTitle="Use P or F" error="Type P (pass) or F (fail)." sqref="I2:J5 L2:M5 I6:I8 K6:M8 I9:J16 L9:M16 I17 K17:M17 I18:J18 L18:M18 I19:I20 K19:M20 I21:J23 L21:M23 I24 K24:M24 I25:J27 L25:M27 I28:I29 K28:M29 I30:J30 L30:M30 I31 K31:M31 I32:J37 L32:M37 I38 K38:M38 I39:J41 L39:M41" xr:uid="{00000000-0002-0000-0100-000000000000}">
      <formula1>"P,F"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2026-10-20T16:11:44Z</dcterms:created>
  <dcterms:modified xsi:type="dcterms:W3CDTF">2026-10-21T01:50:46Z</dcterms:modified>
  <dc:language>en-US</dc:language>
</cp:coreProperties>
</file>